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O Audi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<sst xmlns="http://schemas.openxmlformats.org/spreadsheetml/2006/main" count="43" uniqueCount="43">
  <si>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DEGEN0X - Google SEO Compliance Audit</t>
  </si>
  <si>
    <t xml:space="preserve">Audit Date: 2026-04-13</t>
  </si>
  <si>
    <t xml:space="preserve">Category</t>
  </si>
  <si>
    <t xml:space="preserve">Weight (%)</t>
  </si>
  <si>
    <t xml:space="preserve">Score (0-10)</t>
  </si>
  <si>
    <t xml:space="preserve">Weighted Score</t>
  </si>
  <si>
    <t xml:space="preserve">Notes</t>
  </si>
  <si>
    <t xml:space="preserve">Technical</t>
  </si>
  <si>
    <t xml:space="preserve">Pages: 1797, Published: 1796</t>
  </si>
  <si>
    <t xml:space="preserve">Crawlability</t>
  </si>
  <si>
    <t xml:space="preserve">Canonical tags: 1539</t>
  </si>
  <si>
    <t xml:space="preserve">Content Quality</t>
  </si>
  <si>
    <t xml:space="preserve">Articles: 954, Total pages: 1797</t>
  </si>
  <si>
    <t xml:space="preserve">Spam</t>
  </si>
  <si>
    <t xml:space="preserve">Passing baseline checks</t>
  </si>
  <si>
    <t xml:space="preserve">Metadata</t>
  </si>
  <si>
    <t xml:space="preserve">Meta tags: 1913, Total: 1913</t>
  </si>
  <si>
    <t xml:space="preserve">Structured Data</t>
  </si>
  <si>
    <t xml:space="preserve">@context: 1687, Articles: 1913</t>
  </si>
  <si>
    <t xml:space="preserve">Page Experience</t>
  </si>
  <si>
    <t xml:space="preserve">Mobile pages: 290, Total: 1797</t>
  </si>
  <si>
    <t xml:space="preserve">URL Structure</t>
  </si>
  <si>
    <t xml:space="preserve">Clean URLs: 1797</t>
  </si>
  <si>
    <t xml:space="preserve">Internal Linking</t>
  </si>
  <si>
    <t xml:space="preserve">Orphaned pages: 474, Total: 1797</t>
  </si>
  <si>
    <t xml:space="preserve">Image Optimization</t>
  </si>
  <si>
    <t xml:space="preserve">Alt text: 0, Images: 42</t>
  </si>
  <si>
    <t xml:space="preserve">International</t>
  </si>
  <si>
    <t xml:space="preserve">No hreflang detected</t>
  </si>
  <si>
    <t xml:space="preserve">Freshness</t>
  </si>
  <si>
    <t xml:space="preserve">Updated pages: 1599, Total: 1797</t>
  </si>
  <si>
    <t xml:space="preserve">Overall SEO Score (Weighted)</t>
  </si>
  <si>
    <t xml:space="preserve">Score Interpretation</t>
  </si>
  <si>
    <t xml:space="preserve">9.0-10.0</t>
  </si>
  <si>
    <t xml:space="preserve">Excellent compliance</t>
  </si>
  <si>
    <t xml:space="preserve">8.0-8.9</t>
  </si>
  <si>
    <t xml:space="preserve">Strong compliance</t>
  </si>
  <si>
    <t xml:space="preserve">7.0-7.9</t>
  </si>
  <si>
    <t xml:space="preserve">Good, with improvements needed</t>
  </si>
  <si>
    <t xml:space="preserve">6.0-6.9</t>
  </si>
  <si>
    <t xml:space="preserve">Moderate, significant work required</t>
  </si>
  <si>
    <t xml:space="preserve">Below 6.0</t>
  </si>
  <si>
    <t xml:space="preserve">Poor, major improvements critical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</si>
</sst>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788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2"/>
      <color rgb="FF1F4788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1F4788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78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15</v>
      </c>
      <c r="C5" s="5" t="n">
        <v>9.4</v>
      </c>
      <c r="D5" s="5" t="n">
        <f aca="false">B5*C5/100</f>
        <v>1.41</v>
      </c>
      <c r="E5" s="4" t="s">
        <v>8</v>
      </c>
    </row>
    <row r="6" customFormat="false" ht="15" hidden="false" customHeight="false" outlineLevel="0" collapsed="false">
      <c r="A6" s="4" t="s">
        <v>9</v>
      </c>
      <c r="B6" s="5" t="n">
        <v>12</v>
      </c>
      <c r="C6" s="5" t="n">
        <v>8.6</v>
      </c>
      <c r="D6" s="5" t="n">
        <f aca="false">B6*C6/100</f>
        <v>1.032</v>
      </c>
      <c r="E6" s="4" t="s">
        <v>10</v>
      </c>
    </row>
    <row r="7" customFormat="false" ht="15" hidden="false" customHeight="false" outlineLevel="0" collapsed="false">
      <c r="A7" s="4" t="s">
        <v>11</v>
      </c>
      <c r="B7" s="5" t="n">
        <v>15</v>
      </c>
      <c r="C7" s="5" t="n">
        <v>7.8</v>
      </c>
      <c r="D7" s="5" t="n">
        <f aca="false">B7*C7/100</f>
        <v>1.17</v>
      </c>
      <c r="E7" s="4" t="s">
        <v>12</v>
      </c>
    </row>
    <row r="8" customFormat="false" ht="15" hidden="false" customHeight="false" outlineLevel="0" collapsed="false">
      <c r="A8" s="4" t="s">
        <v>13</v>
      </c>
      <c r="B8" s="5" t="n">
        <v>12</v>
      </c>
      <c r="C8" s="5" t="n">
        <v>9.5</v>
      </c>
      <c r="D8" s="5" t="n">
        <f aca="false">B8*C8/100</f>
        <v>1.14</v>
      </c>
      <c r="E8" s="4" t="s">
        <v>14</v>
      </c>
    </row>
    <row r="9" customFormat="false" ht="15" hidden="false" customHeight="false" outlineLevel="0" collapsed="false">
      <c r="A9" s="4" t="s">
        <v>15</v>
      </c>
      <c r="B9" s="5" t="n">
        <v>8</v>
      </c>
      <c r="C9" s="5" t="n">
        <v>9.9</v>
      </c>
      <c r="D9" s="5" t="n">
        <f aca="false">B9*C9/100</f>
        <v>0.792</v>
      </c>
      <c r="E9" s="4" t="s">
        <v>16</v>
      </c>
    </row>
    <row r="10" customFormat="false" ht="15" hidden="false" customHeight="false" outlineLevel="0" collapsed="false">
      <c r="A10" s="4" t="s">
        <v>17</v>
      </c>
      <c r="B10" s="5" t="n">
        <v>8</v>
      </c>
      <c r="C10" s="5" t="n">
        <v>8.8</v>
      </c>
      <c r="D10" s="5" t="n">
        <f aca="false">B10*C10/100</f>
        <v>0.704</v>
      </c>
      <c r="E10" s="4" t="s">
        <v>18</v>
      </c>
    </row>
    <row r="11" customFormat="false" ht="15" hidden="false" customHeight="false" outlineLevel="0" collapsed="false">
      <c r="A11" s="4" t="s">
        <v>19</v>
      </c>
      <c r="B11" s="5" t="n">
        <v>10</v>
      </c>
      <c r="C11" s="5" t="n">
        <v>7.2</v>
      </c>
      <c r="D11" s="5" t="n">
        <f aca="false">B11*C11/100</f>
        <v>0.72</v>
      </c>
      <c r="E11" s="4" t="s">
        <v>20</v>
      </c>
    </row>
    <row r="12" customFormat="false" ht="15" hidden="false" customHeight="false" outlineLevel="0" collapsed="false">
      <c r="A12" s="4" t="s">
        <v>21</v>
      </c>
      <c r="B12" s="5" t="n">
        <v>5</v>
      </c>
      <c r="C12" s="5" t="n">
        <v>9.8</v>
      </c>
      <c r="D12" s="5" t="n">
        <f aca="false">B12*C12/100</f>
        <v>0.49</v>
      </c>
      <c r="E12" s="4" t="s">
        <v>22</v>
      </c>
    </row>
    <row r="13" customFormat="false" ht="15" hidden="false" customHeight="false" outlineLevel="0" collapsed="false">
      <c r="A13" s="4" t="s">
        <v>23</v>
      </c>
      <c r="B13" s="5" t="n">
        <v>8</v>
      </c>
      <c r="C13" s="5" t="n">
        <v>5.6</v>
      </c>
      <c r="D13" s="5" t="n">
        <f aca="false">B13*C13/100</f>
        <v>0.448</v>
      </c>
      <c r="E13" s="4" t="s">
        <v>24</v>
      </c>
    </row>
    <row r="14" customFormat="false" ht="15" hidden="false" customHeight="false" outlineLevel="0" collapsed="false">
      <c r="A14" s="4" t="s">
        <v>25</v>
      </c>
      <c r="B14" s="5" t="n">
        <v>3</v>
      </c>
      <c r="C14" s="5" t="n">
        <v>0</v>
      </c>
      <c r="D14" s="5" t="n">
        <f aca="false">B14*C14/100</f>
        <v>0</v>
      </c>
      <c r="E14" s="4" t="s">
        <v>26</v>
      </c>
    </row>
    <row r="15" customFormat="false" ht="15" hidden="false" customHeight="false" outlineLevel="0" collapsed="false">
      <c r="A15" s="4" t="s">
        <v>27</v>
      </c>
      <c r="B15" s="5" t="n">
        <v>2</v>
      </c>
      <c r="C15" s="5" t="n">
        <v>0</v>
      </c>
      <c r="D15" s="5" t="n">
        <f aca="false">B15*C15/100</f>
        <v>0</v>
      </c>
      <c r="E15" s="4" t="s">
        <v>28</v>
      </c>
    </row>
    <row r="16" customFormat="false" ht="15" hidden="false" customHeight="false" outlineLevel="0" collapsed="false">
      <c r="A16" s="4" t="s">
        <v>29</v>
      </c>
      <c r="B16" s="5" t="n">
        <v>2</v>
      </c>
      <c r="C16" s="5" t="n">
        <v>8.9</v>
      </c>
      <c r="D16" s="5" t="n">
        <f aca="false">B16*C16/100</f>
        <v>0.178</v>
      </c>
      <c r="E16" s="4" t="s">
        <v>30</v>
      </c>
    </row>
    <row r="18" customFormat="false" ht="15" hidden="false" customHeight="false" outlineLevel="0" collapsed="false">
      <c r="A18" s="6" t="s">
        <v>31</v>
      </c>
      <c r="C18" s="7" t="n">
        <f aca="false">SUM(D5:D16)/100</f>
        <v>0.08084</v>
      </c>
    </row>
    <row r="21" customFormat="false" ht="15" hidden="false" customHeight="false" outlineLevel="0" collapsed="false">
      <c r="A21" s="8" t="s">
        <v>32</v>
      </c>
    </row>
    <row r="22" customFormat="false" ht="15" hidden="false" customHeight="false" outlineLevel="0" collapsed="false">
      <c r="A22" s="0" t="s">
        <v>33</v>
      </c>
      <c r="B22" s="0" t="s">
        <v>34</v>
      </c>
    </row>
    <row r="23" customFormat="false" ht="15" hidden="false" customHeight="false" outlineLevel="0" collapsed="false">
      <c r="A23" s="0" t="s">
        <v>35</v>
      </c>
      <c r="B23" s="0" t="s">
        <v>36</v>
      </c>
    </row>
    <row r="24" customFormat="false" ht="15" hidden="false" customHeight="false" outlineLevel="0" collapsed="false">
      <c r="A24" s="0" t="s">
        <v>37</v>
      </c>
      <c r="B24" s="0" t="s">
        <v>38</v>
      </c>
    </row>
    <row r="25" customFormat="false" ht="15" hidden="false" customHeight="false" outlineLevel="0" collapsed="false">
      <c r="A25" s="0" t="s">
        <v>39</v>
      </c>
      <c r="B25" s="0" t="s">
        <v>40</v>
      </c>
    </row>
    <row r="26" customFormat="false" ht="15" hidden="false" customHeight="false" outlineLevel="0" collapsed="false">
      <c r="A26" s="0" t="s">
        <v>41</v>
      </c>
      <c r="B26" s="0" t="s">
        <v>42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2026-04-13T07:21:57Z</dcterms:created>
  <dc:creator>openpyxl</dc:creator>
  <dc:description/>
  <dc:language>en-US</dc:language>
  <cp:lastModifiedBy/>
  <dcterms:modified xsi:type="dcterms:W3CDTF">2026-04-13T07:21:57Z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